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software-engineering\system-integrator\products\"/>
    </mc:Choice>
  </mc:AlternateContent>
  <xr:revisionPtr revIDLastSave="0" documentId="13_ncr:1_{D658D012-2DD5-4FE1-BA74-F14F320A8517}" xr6:coauthVersionLast="47" xr6:coauthVersionMax="47" xr10:uidLastSave="{00000000-0000-0000-0000-000000000000}"/>
  <bookViews>
    <workbookView xWindow="-120" yWindow="-120" windowWidth="29040" windowHeight="15720" xr2:uid="{C8644D53-0913-4376-A406-7FBC75B477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1" l="1"/>
  <c r="G7" i="1" s="1"/>
  <c r="K6" i="1"/>
  <c r="G6" i="1" s="1"/>
  <c r="K5" i="1"/>
  <c r="K4" i="1"/>
  <c r="K3" i="1"/>
  <c r="G3" i="1" s="1"/>
  <c r="K2" i="1"/>
  <c r="G2" i="1" s="1"/>
  <c r="G5" i="1"/>
  <c r="G4" i="1"/>
</calcChain>
</file>

<file path=xl/sharedStrings.xml><?xml version="1.0" encoding="utf-8"?>
<sst xmlns="http://schemas.openxmlformats.org/spreadsheetml/2006/main" count="82" uniqueCount="56">
  <si>
    <t>sku</t>
  </si>
  <si>
    <t>name</t>
  </si>
  <si>
    <t>category</t>
  </si>
  <si>
    <t>description</t>
  </si>
  <si>
    <t>facets</t>
  </si>
  <si>
    <t>unit_cost</t>
  </si>
  <si>
    <t>currency</t>
  </si>
  <si>
    <t>msrp</t>
  </si>
  <si>
    <t>tier_base_discount</t>
  </si>
  <si>
    <t>tier_plus_discount</t>
  </si>
  <si>
    <t>volume_breaks</t>
  </si>
  <si>
    <t>lead_time_days</t>
  </si>
  <si>
    <t>stock_band</t>
  </si>
  <si>
    <t>compat_requires</t>
  </si>
  <si>
    <t>compat_blocks</t>
  </si>
  <si>
    <t>bundle_components</t>
  </si>
  <si>
    <t>supplier</t>
  </si>
  <si>
    <t>supplier_sku</t>
  </si>
  <si>
    <t xml:space="preserve">8" Touch Control Panel </t>
  </si>
  <si>
    <t>gateway control</t>
  </si>
  <si>
    <t>supplier_unit_cost</t>
  </si>
  <si>
    <t>margin</t>
  </si>
  <si>
    <t>supplier_currency</t>
  </si>
  <si>
    <t>rate</t>
  </si>
  <si>
    <t>USD</t>
  </si>
  <si>
    <t>TPA08-M3A-8 Pro-EU</t>
  </si>
  <si>
    <t>Golden Security</t>
  </si>
  <si>
    <t>supplier_shipping_rate</t>
  </si>
  <si>
    <t>vat</t>
  </si>
  <si>
    <t>NGN</t>
  </si>
  <si>
    <t>in-stock</t>
  </si>
  <si>
    <t>[{""min_qty"":10,""discount"":0.02},{""min_qty"":25,""discount"":0.04}]</t>
  </si>
  <si>
    <t>8" Touch Control Panel with tuya zigbee gateway/BLE mesh gateway+Background Music+built in Alexa+ IR Built-in), Integration with Spotify enables users to enjoy avast selection of songs anytime, perfect forrelaxation or parties. Built-in High-Fidelity Speakers:Equipped with two 2W speakers, professionallytuned for rich sound quality. External Speaker Support:Allows for connection to dual-channel backgroundmusic speakers for a theater-grade audioexperience. Zigbee and BLE Mesh Gateways:Built-in Zigbee, Bluetooth gateway Support one click adding Zigbee and Bluetooth sub-device, support RS485 interface</t>
  </si>
  <si>
    <t>TPA08-M3A-8 Pro-AS</t>
  </si>
  <si>
    <t>TPA08-M3A-8 Pro-US</t>
  </si>
  <si>
    <t>SI-8-PRO-EU-B</t>
  </si>
  <si>
    <t>SI-8-PRO-AS-B</t>
  </si>
  <si>
    <t>SI-8-PRO-US-G</t>
  </si>
  <si>
    <t>SI-8-PRO-AS-G</t>
  </si>
  <si>
    <t>TPA08-M3A-8 Pro-AS-G</t>
  </si>
  <si>
    <t>variant_facets</t>
  </si>
  <si>
    <t>[color:black, standard:us]</t>
  </si>
  <si>
    <t>[color:gold, standard:as]</t>
  </si>
  <si>
    <t>[color:black, standard:as]</t>
  </si>
  <si>
    <t>[color:black, standard:eu]</t>
  </si>
  <si>
    <t>Smart Control Panel Mini</t>
  </si>
  <si>
    <t>Smart Control Panel Mini (Scene control + 3 gang relays + IR Built-in),  is a 2024 new released smart control panel mini version. It is a multifunctional interactive device that integrates a screen, three physical buttons, three relay channels, and infrared remote control.</t>
  </si>
  <si>
    <t>[brand:GS, wireless:Zigbee 3.0, wireless Wi-Fi, wireless:BLE Mesh, voice:alexa, wireless:ir, Input:100-240V, memory:2GB, working_temp:0-40°C, working_hum:5%-90%RH (non-condensing), storage:16GB, Screen:8-inch, resolution:1280*800, Speaker:2, Microphone:2, ext_speaker:2,  system:android 11, operation_mode: touch, operation_mode:voice, operation_mode:app, installation: standard-86]</t>
  </si>
  <si>
    <t xml:space="preserve">SI-TPP06-W
</t>
  </si>
  <si>
    <t>[color:white]</t>
  </si>
  <si>
    <t>[brand:GS, wireless Wi-Fi, wireless:BLE Mesh, wireless:ir, Input:100-240V, working_temp:0-40°C, working_hum:5%-90%RH (non-condensing), Screen:3-inch, Speaker:2, Microphone:2,  system:android 11, operation_mode: touch, operation_mode:physical-button, operation_mode:app, installation: standard-86, max_load:200w, max_Dimm:200w]</t>
  </si>
  <si>
    <t xml:space="preserve">SI-TPP06-G
</t>
  </si>
  <si>
    <t>[color:Grey]</t>
  </si>
  <si>
    <t>GS-TPP06-G</t>
  </si>
  <si>
    <t>GS-TPP06-W</t>
  </si>
  <si>
    <t>base_margin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</si>
</sst>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A82D-208A-463E-BBF9-F1977EC3FF04}">
  <dimension ref="A1:Z7"/>
  <sheetViews>
    <sheetView tabSelected="1" topLeftCell="E2" workbookViewId="0">
      <selection activeCell="M17" sqref="M17"/>
    </sheetView>
  </sheetViews>
  <sheetFormatPr defaultRowHeight="15" x14ac:dyDescent="0.25"/>
  <cols>
    <col min="1" max="1" width="28.85546875" customWidth="1"/>
    <col min="2" max="2" width="104.5703125" bestFit="1" customWidth="1"/>
    <col min="3" max="3" width="15.28515625" bestFit="1" customWidth="1"/>
    <col min="4" max="4" width="255.7109375" bestFit="1" customWidth="1"/>
    <col min="5" max="5" width="15.28515625" customWidth="1"/>
    <col min="6" max="6" width="23.7109375" bestFit="1" customWidth="1"/>
    <col min="10" max="10" width="12.28515625" bestFit="1" customWidth="1"/>
    <col min="11" max="11" width="9" bestFit="1" customWidth="1"/>
    <col min="12" max="12" width="18.140625" bestFit="1" customWidth="1"/>
    <col min="13" max="13" width="17.7109375" bestFit="1" customWidth="1"/>
    <col min="14" max="14" width="67.5703125" bestFit="1" customWidth="1"/>
    <col min="15" max="15" width="15.140625" bestFit="1" customWidth="1"/>
    <col min="16" max="16" width="11" bestFit="1" customWidth="1"/>
    <col min="17" max="17" width="16.140625" bestFit="1" customWidth="1"/>
    <col min="18" max="18" width="14.28515625" bestFit="1" customWidth="1"/>
    <col min="19" max="19" width="19.5703125" bestFit="1" customWidth="1"/>
    <col min="20" max="20" width="15.140625" bestFit="1" customWidth="1"/>
    <col min="21" max="21" width="21.7109375" bestFit="1" customWidth="1"/>
    <col min="22" max="22" width="17.7109375" bestFit="1" customWidth="1"/>
    <col min="23" max="23" width="17" bestFit="1" customWidth="1"/>
    <col min="25" max="25" width="21.85546875" bestFit="1" customWidth="1"/>
  </cols>
  <sheetData>
    <row r="1" spans="1:26" x14ac:dyDescent="0.25">
      <c r="A1" t="s">
        <v>1</v>
      </c>
      <c r="B1" t="s">
        <v>3</v>
      </c>
      <c r="C1" t="s">
        <v>2</v>
      </c>
      <c r="D1" t="s">
        <v>4</v>
      </c>
      <c r="E1" t="s">
        <v>0</v>
      </c>
      <c r="F1" t="s">
        <v>40</v>
      </c>
      <c r="G1" t="s">
        <v>5</v>
      </c>
      <c r="H1" t="s">
        <v>6</v>
      </c>
      <c r="I1" t="s">
        <v>21</v>
      </c>
      <c r="J1" t="s">
        <v>55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20</v>
      </c>
      <c r="W1" t="s">
        <v>22</v>
      </c>
      <c r="X1" t="s">
        <v>23</v>
      </c>
      <c r="Y1" t="s">
        <v>27</v>
      </c>
      <c r="Z1" t="s">
        <v>28</v>
      </c>
    </row>
    <row r="2" spans="1:26" ht="90" x14ac:dyDescent="0.25">
      <c r="A2" s="2" t="s">
        <v>18</v>
      </c>
      <c r="B2" s="1" t="s">
        <v>32</v>
      </c>
      <c r="C2" s="2" t="s">
        <v>19</v>
      </c>
      <c r="D2" s="2" t="s">
        <v>47</v>
      </c>
      <c r="E2" s="2" t="s">
        <v>35</v>
      </c>
      <c r="F2" s="3" t="s">
        <v>44</v>
      </c>
      <c r="G2">
        <f>K2*(1+I2)</f>
        <v>408232.5</v>
      </c>
      <c r="H2" t="s">
        <v>29</v>
      </c>
      <c r="I2">
        <v>0.3</v>
      </c>
      <c r="J2">
        <v>0.1</v>
      </c>
      <c r="K2">
        <f>V2*X2*(1+Y2+Z2+J2)</f>
        <v>314025</v>
      </c>
      <c r="L2">
        <v>0.05</v>
      </c>
      <c r="M2">
        <v>0.1</v>
      </c>
      <c r="N2" t="s">
        <v>31</v>
      </c>
      <c r="O2">
        <v>7</v>
      </c>
      <c r="P2" t="s">
        <v>30</v>
      </c>
      <c r="T2" t="s">
        <v>26</v>
      </c>
      <c r="U2" t="s">
        <v>25</v>
      </c>
      <c r="V2">
        <v>158</v>
      </c>
      <c r="W2" t="s">
        <v>24</v>
      </c>
      <c r="X2">
        <v>1500</v>
      </c>
      <c r="Y2">
        <v>0.15</v>
      </c>
      <c r="Z2">
        <v>7.4999999999999997E-2</v>
      </c>
    </row>
    <row r="3" spans="1:26" x14ac:dyDescent="0.25">
      <c r="E3" t="s">
        <v>36</v>
      </c>
      <c r="F3" t="s">
        <v>43</v>
      </c>
      <c r="G3">
        <f t="shared" ref="G3:G4" si="0">K3*(1+I3)</f>
        <v>408232.5</v>
      </c>
      <c r="H3" t="s">
        <v>29</v>
      </c>
      <c r="I3">
        <v>0.3</v>
      </c>
      <c r="J3">
        <v>0.1</v>
      </c>
      <c r="K3">
        <f t="shared" ref="K3:K7" si="1">V3*X3*(1+Y3+Z3+J3)</f>
        <v>314025</v>
      </c>
      <c r="L3">
        <v>0.05</v>
      </c>
      <c r="M3">
        <v>0.1</v>
      </c>
      <c r="N3" t="s">
        <v>31</v>
      </c>
      <c r="O3">
        <v>7</v>
      </c>
      <c r="P3" t="s">
        <v>30</v>
      </c>
      <c r="T3" t="s">
        <v>26</v>
      </c>
      <c r="U3" t="s">
        <v>33</v>
      </c>
      <c r="V3">
        <v>158</v>
      </c>
      <c r="W3" t="s">
        <v>24</v>
      </c>
      <c r="X3">
        <v>1500</v>
      </c>
      <c r="Y3">
        <v>0.15</v>
      </c>
      <c r="Z3">
        <v>7.4999999999999997E-2</v>
      </c>
    </row>
    <row r="4" spans="1:26" x14ac:dyDescent="0.25">
      <c r="E4" t="s">
        <v>37</v>
      </c>
      <c r="F4" t="s">
        <v>41</v>
      </c>
      <c r="G4">
        <f t="shared" si="0"/>
        <v>408232.5</v>
      </c>
      <c r="H4" t="s">
        <v>29</v>
      </c>
      <c r="I4">
        <v>0.3</v>
      </c>
      <c r="J4">
        <v>0.1</v>
      </c>
      <c r="K4">
        <f t="shared" si="1"/>
        <v>314025</v>
      </c>
      <c r="L4">
        <v>0.05</v>
      </c>
      <c r="M4">
        <v>0.1</v>
      </c>
      <c r="N4" t="s">
        <v>31</v>
      </c>
      <c r="O4">
        <v>7</v>
      </c>
      <c r="P4" t="s">
        <v>30</v>
      </c>
      <c r="T4" t="s">
        <v>26</v>
      </c>
      <c r="U4" t="s">
        <v>34</v>
      </c>
      <c r="V4">
        <v>158</v>
      </c>
      <c r="W4" t="s">
        <v>24</v>
      </c>
      <c r="X4">
        <v>1500</v>
      </c>
      <c r="Y4">
        <v>0.15</v>
      </c>
      <c r="Z4">
        <v>7.4999999999999997E-2</v>
      </c>
    </row>
    <row r="5" spans="1:26" x14ac:dyDescent="0.25">
      <c r="E5" t="s">
        <v>38</v>
      </c>
      <c r="F5" t="s">
        <v>42</v>
      </c>
      <c r="G5">
        <f t="shared" ref="G5:G7" si="2">K5*(1+I5)</f>
        <v>408232.5</v>
      </c>
      <c r="H5" t="s">
        <v>29</v>
      </c>
      <c r="I5">
        <v>0.3</v>
      </c>
      <c r="J5">
        <v>0.1</v>
      </c>
      <c r="K5">
        <f t="shared" si="1"/>
        <v>314025</v>
      </c>
      <c r="L5">
        <v>0.05</v>
      </c>
      <c r="M5">
        <v>0.1</v>
      </c>
      <c r="N5" t="s">
        <v>31</v>
      </c>
      <c r="O5">
        <v>7</v>
      </c>
      <c r="P5" t="s">
        <v>30</v>
      </c>
      <c r="T5" t="s">
        <v>26</v>
      </c>
      <c r="U5" t="s">
        <v>39</v>
      </c>
      <c r="V5">
        <v>158</v>
      </c>
      <c r="W5" t="s">
        <v>24</v>
      </c>
      <c r="X5">
        <v>1500</v>
      </c>
      <c r="Y5">
        <v>0.15</v>
      </c>
      <c r="Z5">
        <v>7.4999999999999997E-2</v>
      </c>
    </row>
    <row r="6" spans="1:26" ht="45" x14ac:dyDescent="0.25">
      <c r="A6" s="1" t="s">
        <v>45</v>
      </c>
      <c r="B6" s="1" t="s">
        <v>46</v>
      </c>
      <c r="C6" t="s">
        <v>19</v>
      </c>
      <c r="D6" t="s">
        <v>50</v>
      </c>
      <c r="E6" s="1" t="s">
        <v>48</v>
      </c>
      <c r="F6" s="1" t="s">
        <v>49</v>
      </c>
      <c r="G6">
        <f t="shared" si="2"/>
        <v>116268.75</v>
      </c>
      <c r="H6" t="s">
        <v>29</v>
      </c>
      <c r="I6">
        <v>0.3</v>
      </c>
      <c r="J6">
        <v>0.1</v>
      </c>
      <c r="K6">
        <f t="shared" si="1"/>
        <v>89437.5</v>
      </c>
      <c r="L6">
        <v>0.05</v>
      </c>
      <c r="M6">
        <v>0.1</v>
      </c>
      <c r="N6" t="s">
        <v>31</v>
      </c>
      <c r="O6">
        <v>7</v>
      </c>
      <c r="P6" t="s">
        <v>30</v>
      </c>
      <c r="T6" t="s">
        <v>26</v>
      </c>
      <c r="U6" t="s">
        <v>54</v>
      </c>
      <c r="V6">
        <v>45</v>
      </c>
      <c r="W6" t="s">
        <v>24</v>
      </c>
      <c r="X6">
        <v>1500</v>
      </c>
      <c r="Y6">
        <v>0.15</v>
      </c>
      <c r="Z6">
        <v>7.4999999999999997E-2</v>
      </c>
    </row>
    <row r="7" spans="1:26" ht="30" x14ac:dyDescent="0.25">
      <c r="E7" s="1" t="s">
        <v>51</v>
      </c>
      <c r="F7" s="1" t="s">
        <v>52</v>
      </c>
      <c r="G7">
        <f t="shared" si="2"/>
        <v>116268.75</v>
      </c>
      <c r="H7" t="s">
        <v>29</v>
      </c>
      <c r="I7">
        <v>0.3</v>
      </c>
      <c r="J7">
        <v>0.1</v>
      </c>
      <c r="K7">
        <f t="shared" si="1"/>
        <v>89437.5</v>
      </c>
      <c r="L7">
        <v>0.05</v>
      </c>
      <c r="M7">
        <v>0.1</v>
      </c>
      <c r="N7" t="s">
        <v>31</v>
      </c>
      <c r="O7">
        <v>7</v>
      </c>
      <c r="P7" t="s">
        <v>30</v>
      </c>
      <c r="T7" t="s">
        <v>26</v>
      </c>
      <c r="U7" t="s">
        <v>53</v>
      </c>
      <c r="V7">
        <v>45</v>
      </c>
      <c r="W7" t="s">
        <v>24</v>
      </c>
      <c r="X7">
        <v>1500</v>
      </c>
      <c r="Y7">
        <v>0.15</v>
      </c>
      <c r="Z7">
        <v>7.4999999999999997E-2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2025-12-10T12:14:01Z</dcterms:created>
  <dcterms:modified xsi:type="dcterms:W3CDTF">2025-12-10T15:17:44Z</dcterms:modified>
</cp:coreProperties>
</file>